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ching\ENSIA\Operations research\Ensia material\Week 5\"/>
    </mc:Choice>
  </mc:AlternateContent>
  <xr:revisionPtr revIDLastSave="0" documentId="8_{5196FC41-F422-4DD6-A36D-9C3692DCE8F6}" xr6:coauthVersionLast="47" xr6:coauthVersionMax="47" xr10:uidLastSave="{00000000-0000-0000-0000-000000000000}"/>
  <bookViews>
    <workbookView xWindow="-108" yWindow="-108" windowWidth="23256" windowHeight="12456" activeTab="3" xr2:uid="{EECBBE9D-A8C4-4C09-8CFC-45C883920E35}"/>
  </bookViews>
  <sheets>
    <sheet name="Answer Report 1" sheetId="2" r:id="rId1"/>
    <sheet name="Sensitivity Report 1" sheetId="3" r:id="rId2"/>
    <sheet name="Limits Report 1" sheetId="4" r:id="rId3"/>
    <sheet name="Sheet1" sheetId="1" r:id="rId4"/>
  </sheets>
  <definedNames>
    <definedName name="solver_adj" localSheetId="3" hidden="1">Sheet1!$B$10:$D$10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Sheet1!$B$10:$D$10</definedName>
    <definedName name="solver_lhs2" localSheetId="3" hidden="1">Sheet1!$E$3:$E$5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Sheet1!$E$10</definedName>
    <definedName name="solver_pre" localSheetId="3" hidden="1">0.000001</definedName>
    <definedName name="solver_rbv" localSheetId="3" hidden="1">1</definedName>
    <definedName name="solver_rel1" localSheetId="3" hidden="1">3</definedName>
    <definedName name="solver_rel2" localSheetId="3" hidden="1">1</definedName>
    <definedName name="solver_rhs1" localSheetId="3" hidden="1">0</definedName>
    <definedName name="solver_rhs2" localSheetId="3" hidden="1">Sheet1!$G$3:$G$5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2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  <c r="E10" i="1" s="1"/>
</calcChain>
</file>

<file path=xl/sharedStrings.xml><?xml version="1.0" encoding="utf-8"?>
<sst xmlns="http://schemas.openxmlformats.org/spreadsheetml/2006/main" count="135" uniqueCount="71">
  <si>
    <t>X1</t>
  </si>
  <si>
    <t>X2</t>
  </si>
  <si>
    <t>X3</t>
  </si>
  <si>
    <t>Constraint 1</t>
  </si>
  <si>
    <t>Constraint 2</t>
  </si>
  <si>
    <t>Constraint 3</t>
  </si>
  <si>
    <t>Operation 1</t>
  </si>
  <si>
    <t>Operation 2</t>
  </si>
  <si>
    <t>Operation 3</t>
  </si>
  <si>
    <t>Objective</t>
  </si>
  <si>
    <t>Profit</t>
  </si>
  <si>
    <t>Totals</t>
  </si>
  <si>
    <t>z</t>
  </si>
  <si>
    <t>Solution</t>
  </si>
  <si>
    <t>Microsoft Excel 16.0 Answer Report</t>
  </si>
  <si>
    <t>Worksheet: [Book1]Sheet1</t>
  </si>
  <si>
    <t>Report Created: 18/03/2023 21:47:00</t>
  </si>
  <si>
    <t>Result: Solver found a solution.  All Constraints and optimality conditions are satisfied.</t>
  </si>
  <si>
    <t>Solver Engine</t>
  </si>
  <si>
    <t>Engine: GRG Nonlinear</t>
  </si>
  <si>
    <t>Solution Time: 0.016 Seconds.</t>
  </si>
  <si>
    <t>Iterations: 5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</si>
  <si>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</si>
  <si>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</si>
  <si>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</si>
  <si>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</si>
  <si>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</si>
  <si>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</si>
  <si>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</si>
  <si>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</si>
  <si>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</si>
  <si>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</si>
  <si>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</si>
  <si>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</si>
  <si>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</si>
  <si>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</si>
  <si>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</si>
  <si>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</si>
  <si>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$E$10</t>
  </si>
  <si>
    <t>$B$10</t>
  </si>
  <si>
    <t>Contin</t>
  </si>
  <si>
    <t>$C$10</t>
  </si>
  <si>
    <t>$D$10</t>
  </si>
  <si>
    <t>$E$3</t>
  </si>
  <si>
    <t>Constraint 1 Totals</t>
  </si>
  <si>
    <t>$E$3&lt;=$G$3</t>
  </si>
  <si>
    <t>Binding</t>
  </si>
  <si>
    <t>$E$4</t>
  </si>
  <si>
    <t>Constraint 2 Totals</t>
  </si>
  <si>
    <t>$E$4&lt;=$G$4</t>
  </si>
  <si>
    <t>$E$5</t>
  </si>
  <si>
    <t>Constraint 3 Totals</t>
  </si>
  <si>
    <t>$E$5&lt;=$G$5</t>
  </si>
  <si>
    <t>Not Binding</t>
  </si>
  <si>
    <t>$B$10&gt;=0</t>
  </si>
  <si>
    <t>$C$10&gt;=0</t>
  </si>
  <si>
    <t>$D$10&gt;=0</t>
  </si>
  <si>
    <t>Microsoft Excel 16.0 Sensitivity Report</t>
  </si>
  <si>
    <t>Final</t>
  </si>
  <si>
    <t>Value</t>
  </si>
  <si>
    <t>Reduced</t>
  </si>
  <si>
    <t>Gradient</t>
  </si>
  <si>
    <t>Lagrange</t>
  </si>
  <si>
    <t>Multiplier</t>
  </si>
  <si>
    <t>Microsoft Excel 16.0 Limits Report</t>
  </si>
  <si>
    <t>Report Created: 18/03/2023 21:47:01</t>
  </si>
  <si>
    <t>Variable</t>
  </si>
  <si>
    <t>Lower</t>
  </si>
  <si>
    <t>Limit</t>
  </si>
  <si>
    <t>Result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</si>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</sst>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4" xfId="0" applyFill="1" applyBorder="1" applyAlignment="1"/>
    <xf numFmtId="0" fontId="3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E957-DA48-4835-A35D-986CA62740AF}">
  <dimension ref="A1:G33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16.44140625" bestFit="1" customWidth="1"/>
    <col min="4" max="4" width="12.6640625" bestFit="1" customWidth="1"/>
    <col min="5" max="5" width="11.21875" bestFit="1" customWidth="1"/>
    <col min="6" max="6" width="10.44140625" bestFit="1" customWidth="1"/>
    <col min="7" max="7" width="5.33203125" bestFit="1" customWidth="1"/>
  </cols>
  <sheetData>
    <row r="1" spans="1:5" x14ac:dyDescent="0.3">
      <c r="A1" s="2" t="s">
        <v>14</v>
      </c>
    </row>
    <row r="2" spans="1:5" x14ac:dyDescent="0.3">
      <c r="A2" s="2" t="s">
        <v>15</v>
      </c>
    </row>
    <row r="3" spans="1:5" x14ac:dyDescent="0.3">
      <c r="A3" s="2" t="s">
        <v>16</v>
      </c>
    </row>
    <row r="4" spans="1:5" x14ac:dyDescent="0.3">
      <c r="A4" s="2" t="s">
        <v>17</v>
      </c>
    </row>
    <row r="5" spans="1:5" x14ac:dyDescent="0.3">
      <c r="A5" s="2" t="s">
        <v>18</v>
      </c>
    </row>
    <row r="6" spans="1:5" x14ac:dyDescent="0.3">
      <c r="A6" s="2"/>
      <c r="B6" t="s">
        <v>19</v>
      </c>
    </row>
    <row r="7" spans="1:5" x14ac:dyDescent="0.3">
      <c r="A7" s="2"/>
      <c r="B7" t="s">
        <v>20</v>
      </c>
    </row>
    <row r="8" spans="1:5" x14ac:dyDescent="0.3">
      <c r="A8" s="2"/>
      <c r="B8" t="s">
        <v>21</v>
      </c>
    </row>
    <row r="9" spans="1:5" x14ac:dyDescent="0.3">
      <c r="A9" s="2" t="s">
        <v>22</v>
      </c>
    </row>
    <row r="10" spans="1:5" x14ac:dyDescent="0.3">
      <c r="B10" t="s">
        <v>23</v>
      </c>
    </row>
    <row r="11" spans="1:5" x14ac:dyDescent="0.3">
      <c r="B11" t="s">
        <v>24</v>
      </c>
    </row>
    <row r="12" spans="1:5" x14ac:dyDescent="0.3">
      <c r="B12" t="s">
        <v>25</v>
      </c>
    </row>
    <row r="14" spans="1:5" ht="15" thickBot="1" x14ac:dyDescent="0.35">
      <c r="A14" t="s">
        <v>26</v>
      </c>
    </row>
    <row r="15" spans="1:5" ht="15" thickBot="1" x14ac:dyDescent="0.35">
      <c r="B15" s="4" t="s">
        <v>27</v>
      </c>
      <c r="C15" s="4" t="s">
        <v>28</v>
      </c>
      <c r="D15" s="4" t="s">
        <v>29</v>
      </c>
      <c r="E15" s="4" t="s">
        <v>30</v>
      </c>
    </row>
    <row r="16" spans="1:5" ht="15" thickBot="1" x14ac:dyDescent="0.35">
      <c r="B16" s="3" t="s">
        <v>38</v>
      </c>
      <c r="C16" s="3" t="s">
        <v>12</v>
      </c>
      <c r="D16" s="6">
        <v>0</v>
      </c>
      <c r="E16" s="6">
        <v>1349.9999999999998</v>
      </c>
    </row>
    <row r="19" spans="1:7" ht="15" thickBot="1" x14ac:dyDescent="0.35">
      <c r="A19" t="s">
        <v>31</v>
      </c>
    </row>
    <row r="20" spans="1:7" ht="15" thickBot="1" x14ac:dyDescent="0.35">
      <c r="B20" s="4" t="s">
        <v>27</v>
      </c>
      <c r="C20" s="4" t="s">
        <v>28</v>
      </c>
      <c r="D20" s="4" t="s">
        <v>29</v>
      </c>
      <c r="E20" s="4" t="s">
        <v>30</v>
      </c>
      <c r="F20" s="4" t="s">
        <v>32</v>
      </c>
    </row>
    <row r="21" spans="1:7" x14ac:dyDescent="0.3">
      <c r="B21" s="5" t="s">
        <v>39</v>
      </c>
      <c r="C21" s="5" t="s">
        <v>0</v>
      </c>
      <c r="D21" s="7">
        <v>0</v>
      </c>
      <c r="E21" s="7">
        <v>0</v>
      </c>
      <c r="F21" s="5" t="s">
        <v>40</v>
      </c>
    </row>
    <row r="22" spans="1:7" x14ac:dyDescent="0.3">
      <c r="B22" s="5" t="s">
        <v>41</v>
      </c>
      <c r="C22" s="5" t="s">
        <v>1</v>
      </c>
      <c r="D22" s="7">
        <v>0</v>
      </c>
      <c r="E22" s="7">
        <v>100</v>
      </c>
      <c r="F22" s="5" t="s">
        <v>40</v>
      </c>
    </row>
    <row r="23" spans="1:7" ht="15" thickBot="1" x14ac:dyDescent="0.35">
      <c r="B23" s="3" t="s">
        <v>42</v>
      </c>
      <c r="C23" s="3" t="s">
        <v>2</v>
      </c>
      <c r="D23" s="6">
        <v>0</v>
      </c>
      <c r="E23" s="6">
        <v>229.99999999999997</v>
      </c>
      <c r="F23" s="3" t="s">
        <v>40</v>
      </c>
    </row>
    <row r="26" spans="1:7" ht="15" thickBot="1" x14ac:dyDescent="0.35">
      <c r="A26" t="s">
        <v>33</v>
      </c>
    </row>
    <row r="27" spans="1:7" ht="15" thickBot="1" x14ac:dyDescent="0.35">
      <c r="B27" s="4" t="s">
        <v>27</v>
      </c>
      <c r="C27" s="4" t="s">
        <v>28</v>
      </c>
      <c r="D27" s="4" t="s">
        <v>34</v>
      </c>
      <c r="E27" s="4" t="s">
        <v>35</v>
      </c>
      <c r="F27" s="4" t="s">
        <v>36</v>
      </c>
      <c r="G27" s="4" t="s">
        <v>37</v>
      </c>
    </row>
    <row r="28" spans="1:7" x14ac:dyDescent="0.3">
      <c r="B28" s="5" t="s">
        <v>43</v>
      </c>
      <c r="C28" s="5" t="s">
        <v>44</v>
      </c>
      <c r="D28" s="7">
        <v>430</v>
      </c>
      <c r="E28" s="5" t="s">
        <v>45</v>
      </c>
      <c r="F28" s="5" t="s">
        <v>46</v>
      </c>
      <c r="G28" s="5">
        <v>0</v>
      </c>
    </row>
    <row r="29" spans="1:7" x14ac:dyDescent="0.3">
      <c r="B29" s="5" t="s">
        <v>47</v>
      </c>
      <c r="C29" s="5" t="s">
        <v>48</v>
      </c>
      <c r="D29" s="7">
        <v>459.99999999999994</v>
      </c>
      <c r="E29" s="5" t="s">
        <v>49</v>
      </c>
      <c r="F29" s="5" t="s">
        <v>46</v>
      </c>
      <c r="G29" s="5">
        <v>0</v>
      </c>
    </row>
    <row r="30" spans="1:7" x14ac:dyDescent="0.3">
      <c r="B30" s="5" t="s">
        <v>50</v>
      </c>
      <c r="C30" s="5" t="s">
        <v>51</v>
      </c>
      <c r="D30" s="7">
        <v>400</v>
      </c>
      <c r="E30" s="5" t="s">
        <v>52</v>
      </c>
      <c r="F30" s="5" t="s">
        <v>53</v>
      </c>
      <c r="G30" s="5">
        <v>20</v>
      </c>
    </row>
    <row r="31" spans="1:7" x14ac:dyDescent="0.3">
      <c r="B31" s="5" t="s">
        <v>39</v>
      </c>
      <c r="C31" s="5" t="s">
        <v>0</v>
      </c>
      <c r="D31" s="7">
        <v>0</v>
      </c>
      <c r="E31" s="5" t="s">
        <v>54</v>
      </c>
      <c r="F31" s="5" t="s">
        <v>46</v>
      </c>
      <c r="G31" s="7">
        <v>0</v>
      </c>
    </row>
    <row r="32" spans="1:7" x14ac:dyDescent="0.3">
      <c r="B32" s="5" t="s">
        <v>41</v>
      </c>
      <c r="C32" s="5" t="s">
        <v>1</v>
      </c>
      <c r="D32" s="7">
        <v>100</v>
      </c>
      <c r="E32" s="5" t="s">
        <v>55</v>
      </c>
      <c r="F32" s="5" t="s">
        <v>53</v>
      </c>
      <c r="G32" s="7">
        <v>100</v>
      </c>
    </row>
    <row r="33" spans="2:7" ht="15" thickBot="1" x14ac:dyDescent="0.35">
      <c r="B33" s="3" t="s">
        <v>42</v>
      </c>
      <c r="C33" s="3" t="s">
        <v>2</v>
      </c>
      <c r="D33" s="6">
        <v>229.99999999999997</v>
      </c>
      <c r="E33" s="3" t="s">
        <v>56</v>
      </c>
      <c r="F33" s="3" t="s">
        <v>53</v>
      </c>
      <c r="G33" s="6">
        <v>229.99999999999997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F497-B2D3-4A0C-A491-49E1BE418EF8}">
  <dimension ref="A1:E18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16.44140625" bestFit="1" customWidth="1"/>
    <col min="4" max="4" width="5.77734375" bestFit="1" customWidth="1"/>
    <col min="5" max="5" width="12.6640625" bestFit="1" customWidth="1"/>
  </cols>
  <sheetData>
    <row r="1" spans="1:5" x14ac:dyDescent="0.3">
      <c r="A1" s="2" t="s">
        <v>57</v>
      </c>
    </row>
    <row r="2" spans="1:5" x14ac:dyDescent="0.3">
      <c r="A2" s="2" t="s">
        <v>15</v>
      </c>
    </row>
    <row r="3" spans="1:5" x14ac:dyDescent="0.3">
      <c r="A3" s="2" t="s">
        <v>16</v>
      </c>
    </row>
    <row r="6" spans="1:5" ht="15" thickBot="1" x14ac:dyDescent="0.35">
      <c r="A6" t="s">
        <v>31</v>
      </c>
    </row>
    <row r="7" spans="1:5" x14ac:dyDescent="0.3">
      <c r="B7" s="8"/>
      <c r="C7" s="8"/>
      <c r="D7" s="8" t="s">
        <v>58</v>
      </c>
      <c r="E7" s="8" t="s">
        <v>60</v>
      </c>
    </row>
    <row r="8" spans="1:5" ht="15" thickBot="1" x14ac:dyDescent="0.35">
      <c r="B8" s="9" t="s">
        <v>27</v>
      </c>
      <c r="C8" s="9" t="s">
        <v>28</v>
      </c>
      <c r="D8" s="9" t="s">
        <v>59</v>
      </c>
      <c r="E8" s="9" t="s">
        <v>61</v>
      </c>
    </row>
    <row r="9" spans="1:5" x14ac:dyDescent="0.3">
      <c r="B9" s="5" t="s">
        <v>39</v>
      </c>
      <c r="C9" s="5" t="s">
        <v>0</v>
      </c>
      <c r="D9" s="5">
        <v>0</v>
      </c>
      <c r="E9" s="5">
        <v>-4.0000002384185791</v>
      </c>
    </row>
    <row r="10" spans="1:5" x14ac:dyDescent="0.3">
      <c r="B10" s="5" t="s">
        <v>41</v>
      </c>
      <c r="C10" s="5" t="s">
        <v>1</v>
      </c>
      <c r="D10" s="5">
        <v>100</v>
      </c>
      <c r="E10" s="5">
        <v>0</v>
      </c>
    </row>
    <row r="11" spans="1:5" ht="15" thickBot="1" x14ac:dyDescent="0.35">
      <c r="B11" s="3" t="s">
        <v>42</v>
      </c>
      <c r="C11" s="3" t="s">
        <v>2</v>
      </c>
      <c r="D11" s="3">
        <v>229.99999999999997</v>
      </c>
      <c r="E11" s="3">
        <v>0</v>
      </c>
    </row>
    <row r="13" spans="1:5" ht="15" thickBot="1" x14ac:dyDescent="0.35">
      <c r="A13" t="s">
        <v>33</v>
      </c>
    </row>
    <row r="14" spans="1:5" x14ac:dyDescent="0.3">
      <c r="B14" s="8"/>
      <c r="C14" s="8"/>
      <c r="D14" s="8" t="s">
        <v>58</v>
      </c>
      <c r="E14" s="8" t="s">
        <v>62</v>
      </c>
    </row>
    <row r="15" spans="1:5" ht="15" thickBot="1" x14ac:dyDescent="0.35">
      <c r="B15" s="9" t="s">
        <v>27</v>
      </c>
      <c r="C15" s="9" t="s">
        <v>28</v>
      </c>
      <c r="D15" s="9" t="s">
        <v>59</v>
      </c>
      <c r="E15" s="9" t="s">
        <v>63</v>
      </c>
    </row>
    <row r="16" spans="1:5" x14ac:dyDescent="0.3">
      <c r="B16" s="5" t="s">
        <v>43</v>
      </c>
      <c r="C16" s="5" t="s">
        <v>44</v>
      </c>
      <c r="D16" s="5">
        <v>430</v>
      </c>
      <c r="E16" s="5">
        <v>1</v>
      </c>
    </row>
    <row r="17" spans="2:5" x14ac:dyDescent="0.3">
      <c r="B17" s="5" t="s">
        <v>47</v>
      </c>
      <c r="C17" s="5" t="s">
        <v>48</v>
      </c>
      <c r="D17" s="5">
        <v>459.99999999999994</v>
      </c>
      <c r="E17" s="5">
        <v>2</v>
      </c>
    </row>
    <row r="18" spans="2:5" ht="15" thickBot="1" x14ac:dyDescent="0.35">
      <c r="B18" s="3" t="s">
        <v>50</v>
      </c>
      <c r="C18" s="3" t="s">
        <v>51</v>
      </c>
      <c r="D18" s="3">
        <v>400</v>
      </c>
      <c r="E18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6997-4ED7-4528-9628-5B5B250812A3}">
  <dimension ref="A1:J15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" bestFit="1" customWidth="1"/>
    <col min="4" max="4" width="5.77734375" bestFit="1" customWidth="1"/>
    <col min="5" max="5" width="2.33203125" customWidth="1"/>
    <col min="6" max="6" width="6.109375" bestFit="1" customWidth="1"/>
    <col min="7" max="7" width="9" bestFit="1" customWidth="1"/>
    <col min="8" max="8" width="2.33203125" customWidth="1"/>
    <col min="9" max="9" width="6.21875" bestFit="1" customWidth="1"/>
    <col min="10" max="10" width="9" bestFit="1" customWidth="1"/>
  </cols>
  <sheetData>
    <row r="1" spans="1:10" x14ac:dyDescent="0.3">
      <c r="A1" s="2" t="s">
        <v>64</v>
      </c>
    </row>
    <row r="2" spans="1:10" x14ac:dyDescent="0.3">
      <c r="A2" s="2" t="s">
        <v>15</v>
      </c>
    </row>
    <row r="3" spans="1:10" x14ac:dyDescent="0.3">
      <c r="A3" s="2" t="s">
        <v>65</v>
      </c>
    </row>
    <row r="5" spans="1:10" ht="15" thickBot="1" x14ac:dyDescent="0.35"/>
    <row r="6" spans="1:10" x14ac:dyDescent="0.3">
      <c r="B6" s="8"/>
      <c r="C6" s="8" t="s">
        <v>9</v>
      </c>
      <c r="D6" s="8"/>
    </row>
    <row r="7" spans="1:10" ht="15" thickBot="1" x14ac:dyDescent="0.35">
      <c r="B7" s="9" t="s">
        <v>27</v>
      </c>
      <c r="C7" s="9" t="s">
        <v>28</v>
      </c>
      <c r="D7" s="9" t="s">
        <v>59</v>
      </c>
    </row>
    <row r="8" spans="1:10" ht="15" thickBot="1" x14ac:dyDescent="0.35">
      <c r="B8" s="3" t="s">
        <v>38</v>
      </c>
      <c r="C8" s="3" t="s">
        <v>12</v>
      </c>
      <c r="D8" s="6">
        <v>1349.9999999999998</v>
      </c>
    </row>
    <row r="10" spans="1:10" ht="15" thickBot="1" x14ac:dyDescent="0.35"/>
    <row r="11" spans="1:10" x14ac:dyDescent="0.3">
      <c r="B11" s="8"/>
      <c r="C11" s="8" t="s">
        <v>66</v>
      </c>
      <c r="D11" s="8"/>
      <c r="F11" s="8" t="s">
        <v>67</v>
      </c>
      <c r="G11" s="8" t="s">
        <v>9</v>
      </c>
      <c r="I11" s="8" t="s">
        <v>70</v>
      </c>
      <c r="J11" s="8" t="s">
        <v>9</v>
      </c>
    </row>
    <row r="12" spans="1:10" ht="15" thickBot="1" x14ac:dyDescent="0.35">
      <c r="B12" s="9" t="s">
        <v>27</v>
      </c>
      <c r="C12" s="9" t="s">
        <v>28</v>
      </c>
      <c r="D12" s="9" t="s">
        <v>59</v>
      </c>
      <c r="F12" s="9" t="s">
        <v>68</v>
      </c>
      <c r="G12" s="9" t="s">
        <v>69</v>
      </c>
      <c r="I12" s="9" t="s">
        <v>68</v>
      </c>
      <c r="J12" s="9" t="s">
        <v>69</v>
      </c>
    </row>
    <row r="13" spans="1:10" x14ac:dyDescent="0.3">
      <c r="B13" s="5" t="s">
        <v>39</v>
      </c>
      <c r="C13" s="5" t="s">
        <v>0</v>
      </c>
      <c r="D13" s="7">
        <v>0</v>
      </c>
      <c r="F13" s="7">
        <v>0</v>
      </c>
      <c r="G13" s="7">
        <v>1349.9999999999998</v>
      </c>
      <c r="I13" s="7">
        <v>0</v>
      </c>
      <c r="J13" s="7">
        <v>1349.9999999999998</v>
      </c>
    </row>
    <row r="14" spans="1:10" x14ac:dyDescent="0.3">
      <c r="B14" s="5" t="s">
        <v>41</v>
      </c>
      <c r="C14" s="5" t="s">
        <v>1</v>
      </c>
      <c r="D14" s="7">
        <v>100</v>
      </c>
      <c r="F14" s="7">
        <v>0</v>
      </c>
      <c r="G14" s="7">
        <v>1149.9999999999998</v>
      </c>
      <c r="I14" s="7">
        <v>100.00000000000003</v>
      </c>
      <c r="J14" s="7">
        <v>1349.9999999999998</v>
      </c>
    </row>
    <row r="15" spans="1:10" ht="15" thickBot="1" x14ac:dyDescent="0.35">
      <c r="B15" s="3" t="s">
        <v>42</v>
      </c>
      <c r="C15" s="3" t="s">
        <v>2</v>
      </c>
      <c r="D15" s="6">
        <v>229.99999999999997</v>
      </c>
      <c r="F15" s="6">
        <v>0</v>
      </c>
      <c r="G15" s="6">
        <v>200</v>
      </c>
      <c r="I15" s="6">
        <v>230</v>
      </c>
      <c r="J15" s="6">
        <v>1350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61F8-4FA6-4426-A1D9-A99E46E99A70}">
  <dimension ref="A1:H10"/>
  <sheetViews>
    <sheetView tabSelected="1" workbookViewId="0">
      <selection activeCell="H12" sqref="H12"/>
    </sheetView>
  </sheetViews>
  <sheetFormatPr defaultRowHeight="14.4" x14ac:dyDescent="0.3"/>
  <cols>
    <col min="1" max="1" width="10.88671875" style="1" bestFit="1" customWidth="1"/>
    <col min="2" max="7" width="8.88671875" style="1"/>
    <col min="8" max="8" width="10.6640625" style="1" bestFit="1" customWidth="1"/>
    <col min="9" max="16384" width="8.88671875" style="1"/>
  </cols>
  <sheetData>
    <row r="1" spans="1:8" x14ac:dyDescent="0.3">
      <c r="E1" s="1" t="s">
        <v>11</v>
      </c>
    </row>
    <row r="2" spans="1:8" x14ac:dyDescent="0.3">
      <c r="A2" s="1" t="s">
        <v>9</v>
      </c>
      <c r="B2" s="1">
        <v>3</v>
      </c>
      <c r="C2" s="1">
        <v>2</v>
      </c>
      <c r="D2" s="1">
        <v>5</v>
      </c>
      <c r="E2" s="1">
        <f>SUMPRODUCT(B2:D2,$B$10:$D$10)</f>
        <v>1349.9999999999998</v>
      </c>
      <c r="H2" s="1" t="s">
        <v>10</v>
      </c>
    </row>
    <row r="3" spans="1:8" x14ac:dyDescent="0.3">
      <c r="A3" s="1" t="s">
        <v>3</v>
      </c>
      <c r="B3" s="1">
        <v>1</v>
      </c>
      <c r="C3" s="1">
        <v>2</v>
      </c>
      <c r="D3" s="1">
        <v>1</v>
      </c>
      <c r="E3" s="1">
        <f t="shared" ref="E3:E5" si="0">SUMPRODUCT(B3:D3,$B$10:$D$10)</f>
        <v>430</v>
      </c>
      <c r="G3" s="1">
        <v>430</v>
      </c>
      <c r="H3" s="1" t="s">
        <v>6</v>
      </c>
    </row>
    <row r="4" spans="1:8" x14ac:dyDescent="0.3">
      <c r="A4" s="1" t="s">
        <v>4</v>
      </c>
      <c r="B4" s="1">
        <v>3</v>
      </c>
      <c r="C4" s="1">
        <v>0</v>
      </c>
      <c r="D4" s="1">
        <v>2</v>
      </c>
      <c r="E4" s="1">
        <f t="shared" si="0"/>
        <v>459.99999999999994</v>
      </c>
      <c r="G4" s="1">
        <v>460</v>
      </c>
      <c r="H4" s="1" t="s">
        <v>7</v>
      </c>
    </row>
    <row r="5" spans="1:8" x14ac:dyDescent="0.3">
      <c r="A5" s="1" t="s">
        <v>5</v>
      </c>
      <c r="B5" s="1">
        <v>1</v>
      </c>
      <c r="C5" s="1">
        <v>4</v>
      </c>
      <c r="D5" s="1">
        <v>0</v>
      </c>
      <c r="E5" s="1">
        <f t="shared" si="0"/>
        <v>400</v>
      </c>
      <c r="G5" s="1">
        <v>420</v>
      </c>
      <c r="H5" s="1" t="s">
        <v>8</v>
      </c>
    </row>
    <row r="9" spans="1:8" x14ac:dyDescent="0.3">
      <c r="A9" s="1" t="s">
        <v>13</v>
      </c>
      <c r="B9" s="1" t="s">
        <v>0</v>
      </c>
      <c r="C9" s="1" t="s">
        <v>1</v>
      </c>
      <c r="D9" s="1" t="s">
        <v>2</v>
      </c>
      <c r="E9" s="1" t="s">
        <v>12</v>
      </c>
    </row>
    <row r="10" spans="1:8" x14ac:dyDescent="0.3">
      <c r="B10" s="1">
        <v>0</v>
      </c>
      <c r="C10" s="1">
        <v>100</v>
      </c>
      <c r="D10" s="1">
        <v>229.99999999999997</v>
      </c>
      <c r="E10" s="1">
        <f>E2</f>
        <v>1349.9999999999998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 Report 1</vt:lpstr>
      <vt:lpstr>Sensitivity Report 1</vt:lpstr>
      <vt:lpstr>Limits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 Brahimi</dc:creator>
  <cp:lastModifiedBy>Med Brahimi</cp:lastModifiedBy>
  <dcterms:created xsi:type="dcterms:W3CDTF">2023-03-18T20:41:57Z</dcterms:created>
  <dcterms:modified xsi:type="dcterms:W3CDTF">2023-03-18T20:47:36Z</dcterms:modified>
</cp:coreProperties>
</file>